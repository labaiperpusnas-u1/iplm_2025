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hamniali/Documents/IPLM_sample/"/>
    </mc:Choice>
  </mc:AlternateContent>
  <xr:revisionPtr revIDLastSave="0" documentId="8_{75FFA069-B2F9-5A41-A271-8871D0C46DC2}" xr6:coauthVersionLast="47" xr6:coauthVersionMax="47" xr10:uidLastSave="{00000000-0000-0000-0000-000000000000}"/>
  <bookViews>
    <workbookView xWindow="0" yWindow="500" windowWidth="20740" windowHeight="11040" xr2:uid="{3838218F-92E2-447A-8C78-BE317290B4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1" l="1"/>
  <c r="I23" i="1"/>
  <c r="I29" i="1"/>
  <c r="I27" i="1"/>
  <c r="I5" i="1"/>
  <c r="I2" i="1"/>
  <c r="I31" i="1"/>
  <c r="I11" i="1"/>
  <c r="I3" i="1"/>
  <c r="I4" i="1"/>
  <c r="I6" i="1"/>
  <c r="I14" i="1"/>
  <c r="I16" i="1"/>
  <c r="I15" i="1"/>
  <c r="I17" i="1"/>
  <c r="I35" i="1"/>
  <c r="I30" i="1"/>
  <c r="I32" i="1"/>
  <c r="I13" i="1"/>
  <c r="I36" i="1"/>
  <c r="I22" i="1"/>
  <c r="I28" i="1"/>
  <c r="I24" i="1"/>
  <c r="I25" i="1"/>
  <c r="I26" i="1"/>
  <c r="I33" i="1"/>
  <c r="I40" i="1"/>
  <c r="I39" i="1"/>
  <c r="I38" i="1"/>
  <c r="I37" i="1"/>
  <c r="I10" i="1"/>
  <c r="I34" i="1"/>
  <c r="I20" i="1"/>
  <c r="I19" i="1"/>
  <c r="I21" i="1"/>
  <c r="I18" i="1"/>
  <c r="I9" i="1"/>
  <c r="I12" i="1"/>
  <c r="I8" i="1"/>
  <c r="I7" i="1"/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2" i="1"/>
  <c r="D3" i="1"/>
  <c r="D4" i="1"/>
  <c r="D5" i="1"/>
  <c r="D6" i="1"/>
  <c r="D7" i="1"/>
  <c r="D8" i="1"/>
  <c r="D9" i="1"/>
  <c r="D10" i="1"/>
  <c r="D11" i="1"/>
  <c r="D12" i="1"/>
  <c r="K12" i="1" s="1"/>
  <c r="D13" i="1"/>
  <c r="D14" i="1"/>
  <c r="D15" i="1"/>
  <c r="D16" i="1"/>
  <c r="D17" i="1"/>
  <c r="D18" i="1"/>
  <c r="D19" i="1"/>
  <c r="D20" i="1"/>
  <c r="K20" i="1" s="1"/>
  <c r="D21" i="1"/>
  <c r="D22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2" i="1"/>
  <c r="K2" i="1" s="1"/>
  <c r="K36" i="1" l="1"/>
  <c r="K28" i="1"/>
  <c r="K4" i="1"/>
  <c r="K19" i="1"/>
  <c r="K11" i="1"/>
  <c r="K35" i="1"/>
  <c r="K27" i="1"/>
  <c r="K3" i="1"/>
  <c r="K16" i="1"/>
  <c r="K34" i="1"/>
  <c r="K26" i="1"/>
  <c r="K18" i="1"/>
  <c r="K10" i="1"/>
  <c r="K8" i="1"/>
  <c r="K38" i="1"/>
  <c r="K30" i="1"/>
  <c r="K22" i="1"/>
  <c r="K14" i="1"/>
  <c r="K6" i="1"/>
  <c r="K33" i="1"/>
  <c r="K17" i="1"/>
  <c r="K40" i="1"/>
  <c r="K32" i="1"/>
  <c r="K24" i="1"/>
  <c r="K25" i="1"/>
  <c r="K9" i="1"/>
  <c r="K39" i="1"/>
  <c r="K31" i="1"/>
  <c r="K23" i="1"/>
  <c r="K15" i="1"/>
  <c r="K7" i="1"/>
  <c r="K37" i="1"/>
  <c r="K29" i="1"/>
  <c r="K21" i="1"/>
  <c r="K13" i="1"/>
  <c r="K5" i="1"/>
</calcChain>
</file>

<file path=xl/sharedStrings.xml><?xml version="1.0" encoding="utf-8"?>
<sst xmlns="http://schemas.openxmlformats.org/spreadsheetml/2006/main" count="50" uniqueCount="50">
  <si>
    <t>No</t>
  </si>
  <si>
    <t>total _sampel</t>
  </si>
  <si>
    <t xml:space="preserve">sma </t>
  </si>
  <si>
    <t>sampel sma</t>
  </si>
  <si>
    <t>smk</t>
  </si>
  <si>
    <t>sampel smk</t>
  </si>
  <si>
    <t>slb</t>
  </si>
  <si>
    <t>sampel slb</t>
  </si>
  <si>
    <t>total_pend</t>
  </si>
  <si>
    <t>PROVINSI DKI JAKARTA</t>
  </si>
  <si>
    <t>PROVINSI JAWA BARAT</t>
  </si>
  <si>
    <t>PROVINSI JAWA TENGAH</t>
  </si>
  <si>
    <t>PROVINSI JAWA TIMUR</t>
  </si>
  <si>
    <t>PROVINSI ACEH</t>
  </si>
  <si>
    <t>PROVINSI SUMATERA UTARA</t>
  </si>
  <si>
    <t>PROVINSI SUMATERA BARAT</t>
  </si>
  <si>
    <t>PROVINSI RIAU</t>
  </si>
  <si>
    <t>PROVINSI JAMBI</t>
  </si>
  <si>
    <t>PROVINSI SUMATERA SELATAN</t>
  </si>
  <si>
    <t>PROVINSI LAMPUNG</t>
  </si>
  <si>
    <t>PROVINSI KALIMANTAN BARAT</t>
  </si>
  <si>
    <t>PROVINSI KALIMANTAN TENGAH</t>
  </si>
  <si>
    <t>PROVINSI KALIMANTAN SELATAN</t>
  </si>
  <si>
    <t>PROVINSI KALIMANTAN TIMUR</t>
  </si>
  <si>
    <t>PROVINSI SULAWESI UTARA</t>
  </si>
  <si>
    <t>PROVINSI SULAWESI TENGAH</t>
  </si>
  <si>
    <t>PROVINSI SULAWESI SELATAN</t>
  </si>
  <si>
    <t>PROVINSI SULAWESI TENGGARA</t>
  </si>
  <si>
    <t>PROVINSI MALUKU</t>
  </si>
  <si>
    <t>PROVINSI BALI</t>
  </si>
  <si>
    <t>PROVINSI NUSA TENGGARA BARAT</t>
  </si>
  <si>
    <t>PROVINSI NUSA TENGGARA TIMUR</t>
  </si>
  <si>
    <t>PROVINSI PAPUA</t>
  </si>
  <si>
    <t>PROVINSI BENGKULU</t>
  </si>
  <si>
    <t>PROVINSI MALUKU UTARA</t>
  </si>
  <si>
    <t>PROVINSI BANTEN</t>
  </si>
  <si>
    <t>PROVINSI KEP. BANGKA BELITUNG</t>
  </si>
  <si>
    <t>PROVINSI GORONTALO</t>
  </si>
  <si>
    <t>PROVINSI KEP. RIAU</t>
  </si>
  <si>
    <t>PROVINSI PAPUA BARAT</t>
  </si>
  <si>
    <t>PROVINSI SULAWESI BARAT</t>
  </si>
  <si>
    <t>PROVINSI KALIMANTAN UTARA</t>
  </si>
  <si>
    <t>PROVINSI LUAR NEGERI</t>
  </si>
  <si>
    <t>PROVINSI PAPUA TENGAH</t>
  </si>
  <si>
    <t>PROVINSI PAPUA SELATAN</t>
  </si>
  <si>
    <t>PROVINSI PAPUA PEGUNUNGAN</t>
  </si>
  <si>
    <t>PROVINSI PAPUA BARAT DAYA</t>
  </si>
  <si>
    <t>Provinsi</t>
  </si>
  <si>
    <t>perpus_umum_prop</t>
  </si>
  <si>
    <t>PROVINSI DI 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</si>
</sst>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212529"/>
      <name val="Neue Haas Grotesk Text Pro"/>
      <family val="2"/>
    </font>
    <font>
      <sz val="11"/>
      <color theme="1"/>
      <name val="Neue Haas Grotesk Text Pro"/>
      <family val="2"/>
    </font>
    <font>
      <sz val="11"/>
      <color rgb="FF212529"/>
      <name val="Neue Haas Grotesk Text Pro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1" xfId="0" applyFont="1" applyFill="1" applyBorder="1" applyAlignment="1">
      <alignment horizontal="left" wrapText="1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left" wrapText="1"/>
    </xf>
    <xf numFmtId="1" fontId="3" fillId="2" borderId="1" xfId="0" applyNumberFormat="1" applyFont="1" applyFill="1" applyBorder="1" applyAlignment="1">
      <alignment horizontal="left" wrapText="1"/>
    </xf>
    <xf numFmtId="3" fontId="3" fillId="2" borderId="1" xfId="0" applyNumberFormat="1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1" fillId="3" borderId="0" xfId="0" applyFont="1" applyFill="1" applyAlignment="1">
      <alignment horizontal="left" wrapText="1"/>
    </xf>
    <xf numFmtId="3" fontId="3" fillId="2" borderId="0" xfId="0" applyNumberFormat="1" applyFont="1" applyFill="1" applyAlignment="1">
      <alignment horizontal="left" wrapText="1"/>
    </xf>
    <xf numFmtId="0" fontId="3" fillId="2" borderId="0" xfId="0" applyFont="1" applyFill="1" applyAlignment="1">
      <alignment horizontal="left" wrapText="1"/>
    </xf>
    <xf numFmtId="1" fontId="2" fillId="0" borderId="0" xfId="0" applyNumberFormat="1" applyFont="1" applyAlignment="1">
      <alignment horizontal="left"/>
    </xf>
    <xf numFmtId="0" fontId="2" fillId="2" borderId="1" xfId="0" applyFont="1" applyFill="1" applyBorder="1" applyAlignment="1">
      <alignment horizontal="center" vertical="top" wrapText="1"/>
    </xf>
    <xf numFmtId="3" fontId="2" fillId="2" borderId="1" xfId="0" applyNumberFormat="1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AF9C8-D460-4A88-B99B-798EA8EA6F36}">
  <dimension ref="A1:K40"/>
  <sheetViews>
    <sheetView tabSelected="1" zoomScaleNormal="100" workbookViewId="0">
      <selection activeCell="C2" sqref="C2"/>
    </sheetView>
  </sheetViews>
  <sheetFormatPr baseColWidth="10" defaultColWidth="9.1640625" defaultRowHeight="15" x14ac:dyDescent="0.2"/>
  <cols>
    <col min="1" max="1" width="5.1640625" style="6" bestFit="1" customWidth="1"/>
    <col min="2" max="2" width="39.6640625" style="6" customWidth="1"/>
    <col min="3" max="3" width="8.33203125" style="2" bestFit="1" customWidth="1"/>
    <col min="4" max="4" width="13.33203125" style="2" customWidth="1"/>
    <col min="5" max="5" width="8.33203125" style="2" bestFit="1" customWidth="1"/>
    <col min="6" max="6" width="13.5" style="2" customWidth="1"/>
    <col min="7" max="7" width="6.5" style="2" bestFit="1" customWidth="1"/>
    <col min="8" max="8" width="13.5" style="2" customWidth="1"/>
    <col min="9" max="9" width="16.6640625" style="2" customWidth="1"/>
    <col min="10" max="10" width="19.6640625" style="2" customWidth="1"/>
    <col min="11" max="11" width="12.6640625" style="6" bestFit="1" customWidth="1"/>
    <col min="12" max="16384" width="9.1640625" style="6"/>
  </cols>
  <sheetData>
    <row r="1" spans="1:11" s="2" customFormat="1" x14ac:dyDescent="0.2">
      <c r="A1" s="1" t="s">
        <v>0</v>
      </c>
      <c r="B1" s="1" t="s">
        <v>47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7" t="s">
        <v>48</v>
      </c>
      <c r="K1" s="2" t="s">
        <v>1</v>
      </c>
    </row>
    <row r="2" spans="1:11" x14ac:dyDescent="0.2">
      <c r="A2" s="3">
        <v>1</v>
      </c>
      <c r="B2" s="9" t="s">
        <v>9</v>
      </c>
      <c r="C2" s="11">
        <v>472</v>
      </c>
      <c r="D2" s="4">
        <f t="shared" ref="D2:D40" si="0">C2*68%</f>
        <v>320.96000000000004</v>
      </c>
      <c r="E2" s="11">
        <v>559</v>
      </c>
      <c r="F2" s="4">
        <f t="shared" ref="F2:F40" si="1">E2*68%</f>
        <v>380.12</v>
      </c>
      <c r="G2" s="11">
        <v>88</v>
      </c>
      <c r="H2" s="4">
        <f t="shared" ref="H2:H40" si="2">G2*68%</f>
        <v>59.84</v>
      </c>
      <c r="I2" s="5">
        <f t="shared" ref="I2:I40" si="3">SUM(C2,E2,G2)</f>
        <v>1119</v>
      </c>
      <c r="J2" s="8">
        <v>1</v>
      </c>
      <c r="K2" s="10">
        <f t="shared" ref="K2:K40" si="4">D2+F2+H2+J2</f>
        <v>761.92000000000007</v>
      </c>
    </row>
    <row r="3" spans="1:11" x14ac:dyDescent="0.2">
      <c r="A3" s="3">
        <v>2</v>
      </c>
      <c r="B3" s="9" t="s">
        <v>10</v>
      </c>
      <c r="C3" s="12">
        <v>1872</v>
      </c>
      <c r="D3" s="4">
        <f t="shared" si="0"/>
        <v>1272.96</v>
      </c>
      <c r="E3" s="12">
        <v>2910</v>
      </c>
      <c r="F3" s="4">
        <f t="shared" si="1"/>
        <v>1978.8000000000002</v>
      </c>
      <c r="G3" s="11">
        <v>399</v>
      </c>
      <c r="H3" s="4">
        <f t="shared" si="2"/>
        <v>271.32</v>
      </c>
      <c r="I3" s="5">
        <f t="shared" si="3"/>
        <v>5181</v>
      </c>
      <c r="J3" s="8">
        <v>1</v>
      </c>
      <c r="K3" s="10">
        <f t="shared" si="4"/>
        <v>3524.0800000000004</v>
      </c>
    </row>
    <row r="4" spans="1:11" x14ac:dyDescent="0.2">
      <c r="A4" s="3">
        <v>3</v>
      </c>
      <c r="B4" s="9" t="s">
        <v>11</v>
      </c>
      <c r="C4" s="11">
        <v>896</v>
      </c>
      <c r="D4" s="4">
        <f t="shared" si="0"/>
        <v>609.28000000000009</v>
      </c>
      <c r="E4" s="12">
        <v>1560</v>
      </c>
      <c r="F4" s="4">
        <f t="shared" si="1"/>
        <v>1060.8000000000002</v>
      </c>
      <c r="G4" s="11">
        <v>188</v>
      </c>
      <c r="H4" s="4">
        <f t="shared" si="2"/>
        <v>127.84</v>
      </c>
      <c r="I4" s="5">
        <f t="shared" si="3"/>
        <v>2644</v>
      </c>
      <c r="J4" s="8">
        <v>1</v>
      </c>
      <c r="K4" s="10">
        <f t="shared" si="4"/>
        <v>1798.9200000000003</v>
      </c>
    </row>
    <row r="5" spans="1:11" x14ac:dyDescent="0.2">
      <c r="A5" s="3">
        <v>4</v>
      </c>
      <c r="B5" s="9" t="s">
        <v>49</v>
      </c>
      <c r="C5" s="11">
        <v>180</v>
      </c>
      <c r="D5" s="4">
        <f t="shared" si="0"/>
        <v>122.4</v>
      </c>
      <c r="E5" s="11">
        <v>207</v>
      </c>
      <c r="F5" s="4">
        <f t="shared" si="1"/>
        <v>140.76000000000002</v>
      </c>
      <c r="G5" s="11">
        <v>81</v>
      </c>
      <c r="H5" s="4">
        <f t="shared" si="2"/>
        <v>55.080000000000005</v>
      </c>
      <c r="I5" s="5">
        <f t="shared" si="3"/>
        <v>468</v>
      </c>
      <c r="J5" s="8">
        <v>1</v>
      </c>
      <c r="K5" s="10">
        <f t="shared" si="4"/>
        <v>319.24</v>
      </c>
    </row>
    <row r="6" spans="1:11" x14ac:dyDescent="0.2">
      <c r="A6" s="3">
        <v>5</v>
      </c>
      <c r="B6" s="9" t="s">
        <v>12</v>
      </c>
      <c r="C6" s="12">
        <v>1521</v>
      </c>
      <c r="D6" s="4">
        <f t="shared" si="0"/>
        <v>1034.28</v>
      </c>
      <c r="E6" s="12">
        <v>2169</v>
      </c>
      <c r="F6" s="4">
        <f t="shared" si="1"/>
        <v>1474.92</v>
      </c>
      <c r="G6" s="11">
        <v>392</v>
      </c>
      <c r="H6" s="4">
        <f t="shared" si="2"/>
        <v>266.56</v>
      </c>
      <c r="I6" s="5">
        <f t="shared" si="3"/>
        <v>4082</v>
      </c>
      <c r="J6" s="8">
        <v>1</v>
      </c>
      <c r="K6" s="10">
        <f t="shared" si="4"/>
        <v>2776.7599999999998</v>
      </c>
    </row>
    <row r="7" spans="1:11" x14ac:dyDescent="0.2">
      <c r="A7" s="3">
        <v>6</v>
      </c>
      <c r="B7" s="9" t="s">
        <v>13</v>
      </c>
      <c r="C7" s="11">
        <v>559</v>
      </c>
      <c r="D7" s="4">
        <f t="shared" si="0"/>
        <v>380.12</v>
      </c>
      <c r="E7" s="11">
        <v>227</v>
      </c>
      <c r="F7" s="4">
        <f t="shared" si="1"/>
        <v>154.36000000000001</v>
      </c>
      <c r="G7" s="11">
        <v>69</v>
      </c>
      <c r="H7" s="4">
        <f t="shared" si="2"/>
        <v>46.92</v>
      </c>
      <c r="I7" s="5">
        <f t="shared" si="3"/>
        <v>855</v>
      </c>
      <c r="J7" s="8">
        <v>1</v>
      </c>
      <c r="K7" s="10">
        <f t="shared" si="4"/>
        <v>582.4</v>
      </c>
    </row>
    <row r="8" spans="1:11" x14ac:dyDescent="0.2">
      <c r="A8" s="3">
        <v>7</v>
      </c>
      <c r="B8" s="9" t="s">
        <v>14</v>
      </c>
      <c r="C8" s="12">
        <v>1096</v>
      </c>
      <c r="D8" s="4">
        <f t="shared" si="0"/>
        <v>745.28000000000009</v>
      </c>
      <c r="E8" s="11">
        <v>944</v>
      </c>
      <c r="F8" s="4">
        <f t="shared" si="1"/>
        <v>641.92000000000007</v>
      </c>
      <c r="G8" s="11">
        <v>64</v>
      </c>
      <c r="H8" s="4">
        <f t="shared" si="2"/>
        <v>43.52</v>
      </c>
      <c r="I8" s="5">
        <f t="shared" si="3"/>
        <v>2104</v>
      </c>
      <c r="J8" s="8">
        <v>1</v>
      </c>
      <c r="K8" s="10">
        <f t="shared" si="4"/>
        <v>1431.7200000000003</v>
      </c>
    </row>
    <row r="9" spans="1:11" x14ac:dyDescent="0.2">
      <c r="A9" s="3">
        <v>8</v>
      </c>
      <c r="B9" s="9" t="s">
        <v>15</v>
      </c>
      <c r="C9" s="11">
        <v>362</v>
      </c>
      <c r="D9" s="4">
        <f t="shared" si="0"/>
        <v>246.16000000000003</v>
      </c>
      <c r="E9" s="11">
        <v>217</v>
      </c>
      <c r="F9" s="4">
        <f t="shared" si="1"/>
        <v>147.56</v>
      </c>
      <c r="G9" s="11">
        <v>189</v>
      </c>
      <c r="H9" s="4">
        <f t="shared" si="2"/>
        <v>128.52000000000001</v>
      </c>
      <c r="I9" s="5">
        <f t="shared" si="3"/>
        <v>768</v>
      </c>
      <c r="J9" s="8">
        <v>1</v>
      </c>
      <c r="K9" s="10">
        <f t="shared" si="4"/>
        <v>523.24</v>
      </c>
    </row>
    <row r="10" spans="1:11" x14ac:dyDescent="0.2">
      <c r="A10" s="3">
        <v>9</v>
      </c>
      <c r="B10" s="9" t="s">
        <v>16</v>
      </c>
      <c r="C10" s="11">
        <v>499</v>
      </c>
      <c r="D10" s="4">
        <f t="shared" si="0"/>
        <v>339.32000000000005</v>
      </c>
      <c r="E10" s="11">
        <v>317</v>
      </c>
      <c r="F10" s="4">
        <f t="shared" si="1"/>
        <v>215.56</v>
      </c>
      <c r="G10" s="11">
        <v>55</v>
      </c>
      <c r="H10" s="4">
        <f t="shared" si="2"/>
        <v>37.400000000000006</v>
      </c>
      <c r="I10" s="5">
        <f t="shared" si="3"/>
        <v>871</v>
      </c>
      <c r="J10" s="8">
        <v>1</v>
      </c>
      <c r="K10" s="10">
        <f t="shared" si="4"/>
        <v>593.28000000000009</v>
      </c>
    </row>
    <row r="11" spans="1:11" x14ac:dyDescent="0.2">
      <c r="A11" s="3">
        <v>10</v>
      </c>
      <c r="B11" s="9" t="s">
        <v>17</v>
      </c>
      <c r="C11" s="11">
        <v>272</v>
      </c>
      <c r="D11" s="4">
        <f t="shared" si="0"/>
        <v>184.96</v>
      </c>
      <c r="E11" s="11">
        <v>186</v>
      </c>
      <c r="F11" s="4">
        <f t="shared" si="1"/>
        <v>126.48</v>
      </c>
      <c r="G11" s="11">
        <v>26</v>
      </c>
      <c r="H11" s="4">
        <f t="shared" si="2"/>
        <v>17.68</v>
      </c>
      <c r="I11" s="5">
        <f t="shared" si="3"/>
        <v>484</v>
      </c>
      <c r="J11" s="8">
        <v>1</v>
      </c>
      <c r="K11" s="10">
        <f t="shared" si="4"/>
        <v>330.12</v>
      </c>
    </row>
    <row r="12" spans="1:11" x14ac:dyDescent="0.2">
      <c r="A12" s="3">
        <v>11</v>
      </c>
      <c r="B12" s="9" t="s">
        <v>18</v>
      </c>
      <c r="C12" s="11">
        <v>641</v>
      </c>
      <c r="D12" s="4">
        <f t="shared" si="0"/>
        <v>435.88000000000005</v>
      </c>
      <c r="E12" s="11">
        <v>324</v>
      </c>
      <c r="F12" s="4">
        <f t="shared" si="1"/>
        <v>220.32000000000002</v>
      </c>
      <c r="G12" s="11">
        <v>41</v>
      </c>
      <c r="H12" s="4">
        <f t="shared" si="2"/>
        <v>27.880000000000003</v>
      </c>
      <c r="I12" s="5">
        <f t="shared" si="3"/>
        <v>1006</v>
      </c>
      <c r="J12" s="8">
        <v>1</v>
      </c>
      <c r="K12" s="10">
        <f t="shared" si="4"/>
        <v>685.08</v>
      </c>
    </row>
    <row r="13" spans="1:11" x14ac:dyDescent="0.2">
      <c r="A13" s="3">
        <v>12</v>
      </c>
      <c r="B13" s="9" t="s">
        <v>19</v>
      </c>
      <c r="C13" s="11">
        <v>551</v>
      </c>
      <c r="D13" s="4">
        <f t="shared" si="0"/>
        <v>374.68</v>
      </c>
      <c r="E13" s="11">
        <v>493</v>
      </c>
      <c r="F13" s="4">
        <f t="shared" si="1"/>
        <v>335.24</v>
      </c>
      <c r="G13" s="11">
        <v>32</v>
      </c>
      <c r="H13" s="4">
        <f t="shared" si="2"/>
        <v>21.76</v>
      </c>
      <c r="I13" s="5">
        <f t="shared" si="3"/>
        <v>1076</v>
      </c>
      <c r="J13" s="8">
        <v>1</v>
      </c>
      <c r="K13" s="10">
        <f t="shared" si="4"/>
        <v>732.68000000000006</v>
      </c>
    </row>
    <row r="14" spans="1:11" x14ac:dyDescent="0.2">
      <c r="A14" s="3">
        <v>13</v>
      </c>
      <c r="B14" s="9" t="s">
        <v>20</v>
      </c>
      <c r="C14" s="11">
        <v>491</v>
      </c>
      <c r="D14" s="4">
        <f t="shared" si="0"/>
        <v>333.88000000000005</v>
      </c>
      <c r="E14" s="11">
        <v>234</v>
      </c>
      <c r="F14" s="4">
        <f t="shared" si="1"/>
        <v>159.12</v>
      </c>
      <c r="G14" s="11">
        <v>28</v>
      </c>
      <c r="H14" s="4">
        <f t="shared" si="2"/>
        <v>19.040000000000003</v>
      </c>
      <c r="I14" s="5">
        <f t="shared" si="3"/>
        <v>753</v>
      </c>
      <c r="J14" s="8">
        <v>1</v>
      </c>
      <c r="K14" s="10">
        <f t="shared" si="4"/>
        <v>513.04000000000008</v>
      </c>
    </row>
    <row r="15" spans="1:11" x14ac:dyDescent="0.2">
      <c r="A15" s="3">
        <v>14</v>
      </c>
      <c r="B15" s="9" t="s">
        <v>21</v>
      </c>
      <c r="C15" s="11">
        <v>253</v>
      </c>
      <c r="D15" s="4">
        <f t="shared" si="0"/>
        <v>172.04000000000002</v>
      </c>
      <c r="E15" s="11">
        <v>142</v>
      </c>
      <c r="F15" s="4">
        <f t="shared" si="1"/>
        <v>96.56</v>
      </c>
      <c r="G15" s="11">
        <v>44</v>
      </c>
      <c r="H15" s="4">
        <f t="shared" si="2"/>
        <v>29.92</v>
      </c>
      <c r="I15" s="5">
        <f t="shared" si="3"/>
        <v>439</v>
      </c>
      <c r="J15" s="8">
        <v>1</v>
      </c>
      <c r="K15" s="10">
        <f t="shared" si="4"/>
        <v>299.52000000000004</v>
      </c>
    </row>
    <row r="16" spans="1:11" x14ac:dyDescent="0.2">
      <c r="A16" s="3">
        <v>15</v>
      </c>
      <c r="B16" s="9" t="s">
        <v>22</v>
      </c>
      <c r="C16" s="11">
        <v>216</v>
      </c>
      <c r="D16" s="4">
        <f t="shared" si="0"/>
        <v>146.88000000000002</v>
      </c>
      <c r="E16" s="11">
        <v>128</v>
      </c>
      <c r="F16" s="4">
        <f t="shared" si="1"/>
        <v>87.04</v>
      </c>
      <c r="G16" s="11">
        <v>26</v>
      </c>
      <c r="H16" s="4">
        <f t="shared" si="2"/>
        <v>17.68</v>
      </c>
      <c r="I16" s="5">
        <f t="shared" si="3"/>
        <v>370</v>
      </c>
      <c r="J16" s="8">
        <v>1</v>
      </c>
      <c r="K16" s="10">
        <f t="shared" si="4"/>
        <v>252.60000000000002</v>
      </c>
    </row>
    <row r="17" spans="1:11" x14ac:dyDescent="0.2">
      <c r="A17" s="3">
        <v>16</v>
      </c>
      <c r="B17" s="9" t="s">
        <v>23</v>
      </c>
      <c r="C17" s="11">
        <v>247</v>
      </c>
      <c r="D17" s="4">
        <f t="shared" si="0"/>
        <v>167.96</v>
      </c>
      <c r="E17" s="11">
        <v>217</v>
      </c>
      <c r="F17" s="4">
        <f t="shared" si="1"/>
        <v>147.56</v>
      </c>
      <c r="G17" s="11">
        <v>35</v>
      </c>
      <c r="H17" s="4">
        <f t="shared" si="2"/>
        <v>23.8</v>
      </c>
      <c r="I17" s="5">
        <f t="shared" si="3"/>
        <v>499</v>
      </c>
      <c r="J17" s="8">
        <v>1</v>
      </c>
      <c r="K17" s="10">
        <f t="shared" si="4"/>
        <v>340.32</v>
      </c>
    </row>
    <row r="18" spans="1:11" x14ac:dyDescent="0.2">
      <c r="A18" s="3">
        <v>17</v>
      </c>
      <c r="B18" s="9" t="s">
        <v>24</v>
      </c>
      <c r="C18" s="11">
        <v>230</v>
      </c>
      <c r="D18" s="4">
        <f t="shared" si="0"/>
        <v>156.4</v>
      </c>
      <c r="E18" s="11">
        <v>192</v>
      </c>
      <c r="F18" s="4">
        <f t="shared" si="1"/>
        <v>130.56</v>
      </c>
      <c r="G18" s="11">
        <v>43</v>
      </c>
      <c r="H18" s="4">
        <f t="shared" si="2"/>
        <v>29.240000000000002</v>
      </c>
      <c r="I18" s="5">
        <f t="shared" si="3"/>
        <v>465</v>
      </c>
      <c r="J18" s="8">
        <v>1</v>
      </c>
      <c r="K18" s="10">
        <f t="shared" si="4"/>
        <v>317.20000000000005</v>
      </c>
    </row>
    <row r="19" spans="1:11" x14ac:dyDescent="0.2">
      <c r="A19" s="3">
        <v>18</v>
      </c>
      <c r="B19" s="9" t="s">
        <v>25</v>
      </c>
      <c r="C19" s="11">
        <v>244</v>
      </c>
      <c r="D19" s="4">
        <f t="shared" si="0"/>
        <v>165.92000000000002</v>
      </c>
      <c r="E19" s="11">
        <v>186</v>
      </c>
      <c r="F19" s="4">
        <f t="shared" si="1"/>
        <v>126.48</v>
      </c>
      <c r="G19" s="11">
        <v>33</v>
      </c>
      <c r="H19" s="4">
        <f t="shared" si="2"/>
        <v>22.44</v>
      </c>
      <c r="I19" s="5">
        <f t="shared" si="3"/>
        <v>463</v>
      </c>
      <c r="J19" s="8">
        <v>1</v>
      </c>
      <c r="K19" s="10">
        <f t="shared" si="4"/>
        <v>315.84000000000003</v>
      </c>
    </row>
    <row r="20" spans="1:11" x14ac:dyDescent="0.2">
      <c r="A20" s="3">
        <v>19</v>
      </c>
      <c r="B20" s="9" t="s">
        <v>26</v>
      </c>
      <c r="C20" s="11">
        <v>640</v>
      </c>
      <c r="D20" s="4">
        <f t="shared" si="0"/>
        <v>435.20000000000005</v>
      </c>
      <c r="E20" s="11">
        <v>405</v>
      </c>
      <c r="F20" s="4">
        <f t="shared" si="1"/>
        <v>275.40000000000003</v>
      </c>
      <c r="G20" s="11">
        <v>99</v>
      </c>
      <c r="H20" s="4">
        <f t="shared" si="2"/>
        <v>67.320000000000007</v>
      </c>
      <c r="I20" s="5">
        <f t="shared" si="3"/>
        <v>1144</v>
      </c>
      <c r="J20" s="8">
        <v>1</v>
      </c>
      <c r="K20" s="10">
        <f t="shared" si="4"/>
        <v>778.92000000000019</v>
      </c>
    </row>
    <row r="21" spans="1:11" x14ac:dyDescent="0.2">
      <c r="A21" s="3">
        <v>20</v>
      </c>
      <c r="B21" s="9" t="s">
        <v>27</v>
      </c>
      <c r="C21" s="11">
        <v>325</v>
      </c>
      <c r="D21" s="4">
        <f t="shared" si="0"/>
        <v>221.00000000000003</v>
      </c>
      <c r="E21" s="11">
        <v>176</v>
      </c>
      <c r="F21" s="4">
        <f t="shared" si="1"/>
        <v>119.68</v>
      </c>
      <c r="G21" s="11">
        <v>85</v>
      </c>
      <c r="H21" s="4">
        <f t="shared" si="2"/>
        <v>57.800000000000004</v>
      </c>
      <c r="I21" s="5">
        <f t="shared" si="3"/>
        <v>586</v>
      </c>
      <c r="J21" s="8">
        <v>1</v>
      </c>
      <c r="K21" s="10">
        <f t="shared" si="4"/>
        <v>399.48000000000008</v>
      </c>
    </row>
    <row r="22" spans="1:11" x14ac:dyDescent="0.2">
      <c r="A22" s="3">
        <v>21</v>
      </c>
      <c r="B22" s="9" t="s">
        <v>28</v>
      </c>
      <c r="C22" s="11">
        <v>300</v>
      </c>
      <c r="D22" s="4">
        <f t="shared" si="0"/>
        <v>204.00000000000003</v>
      </c>
      <c r="E22" s="11">
        <v>124</v>
      </c>
      <c r="F22" s="4">
        <f t="shared" si="1"/>
        <v>84.320000000000007</v>
      </c>
      <c r="G22" s="11">
        <v>16</v>
      </c>
      <c r="H22" s="4">
        <f t="shared" si="2"/>
        <v>10.88</v>
      </c>
      <c r="I22" s="5">
        <f t="shared" si="3"/>
        <v>440</v>
      </c>
      <c r="J22" s="8">
        <v>1</v>
      </c>
      <c r="K22" s="10">
        <f t="shared" si="4"/>
        <v>300.20000000000005</v>
      </c>
    </row>
    <row r="23" spans="1:11" x14ac:dyDescent="0.2">
      <c r="A23" s="3">
        <v>22</v>
      </c>
      <c r="B23" s="9" t="s">
        <v>29</v>
      </c>
      <c r="C23" s="11">
        <v>153</v>
      </c>
      <c r="D23" s="4">
        <f t="shared" si="0"/>
        <v>104.04</v>
      </c>
      <c r="E23" s="11">
        <v>166</v>
      </c>
      <c r="F23" s="4">
        <f t="shared" si="1"/>
        <v>112.88000000000001</v>
      </c>
      <c r="G23" s="11">
        <v>16</v>
      </c>
      <c r="H23" s="4">
        <f t="shared" si="2"/>
        <v>10.88</v>
      </c>
      <c r="I23" s="5">
        <f t="shared" si="3"/>
        <v>335</v>
      </c>
      <c r="J23" s="8">
        <v>1</v>
      </c>
      <c r="K23" s="10">
        <f t="shared" si="4"/>
        <v>228.8</v>
      </c>
    </row>
    <row r="24" spans="1:11" ht="15" customHeight="1" x14ac:dyDescent="0.2">
      <c r="A24" s="3">
        <v>23</v>
      </c>
      <c r="B24" s="9" t="s">
        <v>30</v>
      </c>
      <c r="C24" s="11">
        <v>426</v>
      </c>
      <c r="D24" s="4">
        <f t="shared" si="0"/>
        <v>289.68</v>
      </c>
      <c r="E24" s="11">
        <v>367</v>
      </c>
      <c r="F24" s="4">
        <f t="shared" si="1"/>
        <v>249.56000000000003</v>
      </c>
      <c r="G24" s="11">
        <v>53</v>
      </c>
      <c r="H24" s="4">
        <f t="shared" si="2"/>
        <v>36.04</v>
      </c>
      <c r="I24" s="5">
        <f t="shared" si="3"/>
        <v>846</v>
      </c>
      <c r="J24" s="8">
        <v>1</v>
      </c>
      <c r="K24" s="10">
        <f t="shared" si="4"/>
        <v>576.28</v>
      </c>
    </row>
    <row r="25" spans="1:11" x14ac:dyDescent="0.2">
      <c r="A25" s="3">
        <v>24</v>
      </c>
      <c r="B25" s="9" t="s">
        <v>31</v>
      </c>
      <c r="C25" s="11">
        <v>626</v>
      </c>
      <c r="D25" s="4">
        <f t="shared" si="0"/>
        <v>425.68</v>
      </c>
      <c r="E25" s="11">
        <v>362</v>
      </c>
      <c r="F25" s="4">
        <f t="shared" si="1"/>
        <v>246.16000000000003</v>
      </c>
      <c r="G25" s="11">
        <v>49</v>
      </c>
      <c r="H25" s="4">
        <f t="shared" si="2"/>
        <v>33.32</v>
      </c>
      <c r="I25" s="5">
        <f t="shared" si="3"/>
        <v>1037</v>
      </c>
      <c r="J25" s="8">
        <v>1</v>
      </c>
      <c r="K25" s="10">
        <f t="shared" si="4"/>
        <v>706.16000000000008</v>
      </c>
    </row>
    <row r="26" spans="1:11" x14ac:dyDescent="0.2">
      <c r="A26" s="3">
        <v>25</v>
      </c>
      <c r="B26" s="9" t="s">
        <v>32</v>
      </c>
      <c r="C26" s="11">
        <v>123</v>
      </c>
      <c r="D26" s="4">
        <f t="shared" si="0"/>
        <v>83.64</v>
      </c>
      <c r="E26" s="11">
        <v>49</v>
      </c>
      <c r="F26" s="4">
        <f t="shared" si="1"/>
        <v>33.32</v>
      </c>
      <c r="G26" s="11">
        <v>7</v>
      </c>
      <c r="H26" s="4">
        <f t="shared" si="2"/>
        <v>4.7600000000000007</v>
      </c>
      <c r="I26" s="5">
        <f t="shared" si="3"/>
        <v>179</v>
      </c>
      <c r="J26" s="8">
        <v>1</v>
      </c>
      <c r="K26" s="10">
        <f t="shared" si="4"/>
        <v>122.72000000000001</v>
      </c>
    </row>
    <row r="27" spans="1:11" x14ac:dyDescent="0.2">
      <c r="A27" s="3">
        <v>26</v>
      </c>
      <c r="B27" s="9" t="s">
        <v>33</v>
      </c>
      <c r="C27" s="11">
        <v>157</v>
      </c>
      <c r="D27" s="4">
        <f t="shared" si="0"/>
        <v>106.76</v>
      </c>
      <c r="E27" s="11">
        <v>103</v>
      </c>
      <c r="F27" s="4">
        <f t="shared" si="1"/>
        <v>70.040000000000006</v>
      </c>
      <c r="G27" s="11">
        <v>18</v>
      </c>
      <c r="H27" s="4">
        <f t="shared" si="2"/>
        <v>12.24</v>
      </c>
      <c r="I27" s="5">
        <f t="shared" si="3"/>
        <v>278</v>
      </c>
      <c r="J27" s="8">
        <v>1</v>
      </c>
      <c r="K27" s="10">
        <f t="shared" si="4"/>
        <v>190.04000000000002</v>
      </c>
    </row>
    <row r="28" spans="1:11" x14ac:dyDescent="0.2">
      <c r="A28" s="3">
        <v>27</v>
      </c>
      <c r="B28" s="9" t="s">
        <v>34</v>
      </c>
      <c r="C28" s="11">
        <v>227</v>
      </c>
      <c r="D28" s="4">
        <f t="shared" si="0"/>
        <v>154.36000000000001</v>
      </c>
      <c r="E28" s="11">
        <v>151</v>
      </c>
      <c r="F28" s="4">
        <f t="shared" si="1"/>
        <v>102.68</v>
      </c>
      <c r="G28" s="11">
        <v>29</v>
      </c>
      <c r="H28" s="4">
        <f t="shared" si="2"/>
        <v>19.720000000000002</v>
      </c>
      <c r="I28" s="5">
        <f t="shared" si="3"/>
        <v>407</v>
      </c>
      <c r="J28" s="8">
        <v>1</v>
      </c>
      <c r="K28" s="10">
        <f t="shared" si="4"/>
        <v>277.76000000000005</v>
      </c>
    </row>
    <row r="29" spans="1:11" x14ac:dyDescent="0.2">
      <c r="A29" s="3">
        <v>28</v>
      </c>
      <c r="B29" s="9" t="s">
        <v>35</v>
      </c>
      <c r="C29" s="11">
        <v>635</v>
      </c>
      <c r="D29" s="4">
        <f t="shared" si="0"/>
        <v>431.8</v>
      </c>
      <c r="E29" s="11">
        <v>756</v>
      </c>
      <c r="F29" s="4">
        <f t="shared" si="1"/>
        <v>514.08000000000004</v>
      </c>
      <c r="G29" s="11">
        <v>127</v>
      </c>
      <c r="H29" s="4">
        <f t="shared" si="2"/>
        <v>86.36</v>
      </c>
      <c r="I29" s="5">
        <f t="shared" si="3"/>
        <v>1518</v>
      </c>
      <c r="J29" s="8">
        <v>1</v>
      </c>
      <c r="K29" s="10">
        <f t="shared" si="4"/>
        <v>1033.24</v>
      </c>
    </row>
    <row r="30" spans="1:11" x14ac:dyDescent="0.2">
      <c r="A30" s="3">
        <v>29</v>
      </c>
      <c r="B30" s="9" t="s">
        <v>36</v>
      </c>
      <c r="C30" s="11">
        <v>83</v>
      </c>
      <c r="D30" s="4">
        <f t="shared" si="0"/>
        <v>56.440000000000005</v>
      </c>
      <c r="E30" s="11">
        <v>58</v>
      </c>
      <c r="F30" s="4">
        <f t="shared" si="1"/>
        <v>39.440000000000005</v>
      </c>
      <c r="G30" s="11">
        <v>10</v>
      </c>
      <c r="H30" s="4">
        <f t="shared" si="2"/>
        <v>6.8000000000000007</v>
      </c>
      <c r="I30" s="5">
        <f t="shared" si="3"/>
        <v>151</v>
      </c>
      <c r="J30" s="8">
        <v>1</v>
      </c>
      <c r="K30" s="10">
        <f t="shared" si="4"/>
        <v>103.68</v>
      </c>
    </row>
    <row r="31" spans="1:11" x14ac:dyDescent="0.2">
      <c r="A31" s="3">
        <v>30</v>
      </c>
      <c r="B31" s="9" t="s">
        <v>37</v>
      </c>
      <c r="C31" s="11">
        <v>71</v>
      </c>
      <c r="D31" s="4">
        <f t="shared" si="0"/>
        <v>48.28</v>
      </c>
      <c r="E31" s="11">
        <v>61</v>
      </c>
      <c r="F31" s="4">
        <f t="shared" si="1"/>
        <v>41.480000000000004</v>
      </c>
      <c r="G31" s="11">
        <v>8</v>
      </c>
      <c r="H31" s="4">
        <f t="shared" si="2"/>
        <v>5.44</v>
      </c>
      <c r="I31" s="5">
        <f t="shared" si="3"/>
        <v>140</v>
      </c>
      <c r="J31" s="8">
        <v>1</v>
      </c>
      <c r="K31" s="10">
        <f t="shared" si="4"/>
        <v>96.2</v>
      </c>
    </row>
    <row r="32" spans="1:11" x14ac:dyDescent="0.2">
      <c r="A32" s="3">
        <v>31</v>
      </c>
      <c r="B32" s="9" t="s">
        <v>38</v>
      </c>
      <c r="C32" s="11">
        <v>187</v>
      </c>
      <c r="D32" s="4">
        <f t="shared" si="0"/>
        <v>127.16000000000001</v>
      </c>
      <c r="E32" s="11">
        <v>104</v>
      </c>
      <c r="F32" s="4">
        <f t="shared" si="1"/>
        <v>70.72</v>
      </c>
      <c r="G32" s="11">
        <v>25</v>
      </c>
      <c r="H32" s="4">
        <f t="shared" si="2"/>
        <v>17</v>
      </c>
      <c r="I32" s="5">
        <f t="shared" si="3"/>
        <v>316</v>
      </c>
      <c r="J32" s="8">
        <v>1</v>
      </c>
      <c r="K32" s="10">
        <f t="shared" si="4"/>
        <v>215.88</v>
      </c>
    </row>
    <row r="33" spans="1:11" x14ac:dyDescent="0.2">
      <c r="A33" s="3">
        <v>32</v>
      </c>
      <c r="B33" s="9" t="s">
        <v>39</v>
      </c>
      <c r="C33" s="11">
        <v>73</v>
      </c>
      <c r="D33" s="4">
        <f t="shared" si="0"/>
        <v>49.64</v>
      </c>
      <c r="E33" s="11">
        <v>21</v>
      </c>
      <c r="F33" s="4">
        <f t="shared" si="1"/>
        <v>14.280000000000001</v>
      </c>
      <c r="G33" s="11">
        <v>6</v>
      </c>
      <c r="H33" s="4">
        <f t="shared" si="2"/>
        <v>4.08</v>
      </c>
      <c r="I33" s="5">
        <f t="shared" si="3"/>
        <v>100</v>
      </c>
      <c r="J33" s="8">
        <v>1</v>
      </c>
      <c r="K33" s="10">
        <f t="shared" si="4"/>
        <v>69</v>
      </c>
    </row>
    <row r="34" spans="1:11" x14ac:dyDescent="0.2">
      <c r="A34" s="3">
        <v>33</v>
      </c>
      <c r="B34" s="9" t="s">
        <v>40</v>
      </c>
      <c r="C34" s="11">
        <v>97</v>
      </c>
      <c r="D34" s="4">
        <f t="shared" si="0"/>
        <v>65.960000000000008</v>
      </c>
      <c r="E34" s="11">
        <v>125</v>
      </c>
      <c r="F34" s="4">
        <f t="shared" si="1"/>
        <v>85</v>
      </c>
      <c r="G34" s="11">
        <v>25</v>
      </c>
      <c r="H34" s="4">
        <f t="shared" si="2"/>
        <v>17</v>
      </c>
      <c r="I34" s="5">
        <f t="shared" si="3"/>
        <v>247</v>
      </c>
      <c r="J34" s="8">
        <v>1</v>
      </c>
      <c r="K34" s="10">
        <f t="shared" si="4"/>
        <v>168.96</v>
      </c>
    </row>
    <row r="35" spans="1:11" x14ac:dyDescent="0.2">
      <c r="A35" s="3">
        <v>34</v>
      </c>
      <c r="B35" s="9" t="s">
        <v>41</v>
      </c>
      <c r="C35" s="11">
        <v>74</v>
      </c>
      <c r="D35" s="4">
        <f t="shared" si="0"/>
        <v>50.32</v>
      </c>
      <c r="E35" s="11">
        <v>35</v>
      </c>
      <c r="F35" s="4">
        <f t="shared" si="1"/>
        <v>23.8</v>
      </c>
      <c r="G35" s="11">
        <v>7</v>
      </c>
      <c r="H35" s="4">
        <f t="shared" si="2"/>
        <v>4.7600000000000007</v>
      </c>
      <c r="I35" s="5">
        <f t="shared" si="3"/>
        <v>116</v>
      </c>
      <c r="J35" s="8">
        <v>1</v>
      </c>
      <c r="K35" s="10">
        <f t="shared" si="4"/>
        <v>79.88000000000001</v>
      </c>
    </row>
    <row r="36" spans="1:11" x14ac:dyDescent="0.2">
      <c r="A36" s="3">
        <v>35</v>
      </c>
      <c r="B36" s="9" t="s">
        <v>42</v>
      </c>
      <c r="C36" s="13">
        <v>12</v>
      </c>
      <c r="D36" s="14">
        <f t="shared" si="0"/>
        <v>8.16</v>
      </c>
      <c r="E36" s="13">
        <v>1</v>
      </c>
      <c r="F36" s="14">
        <f t="shared" si="1"/>
        <v>0.68</v>
      </c>
      <c r="G36" s="13">
        <v>0</v>
      </c>
      <c r="H36" s="4">
        <f t="shared" si="2"/>
        <v>0</v>
      </c>
      <c r="I36" s="5">
        <f t="shared" si="3"/>
        <v>13</v>
      </c>
      <c r="J36" s="8">
        <v>1</v>
      </c>
      <c r="K36" s="10">
        <f t="shared" si="4"/>
        <v>9.84</v>
      </c>
    </row>
    <row r="37" spans="1:11" x14ac:dyDescent="0.2">
      <c r="A37" s="3">
        <v>36</v>
      </c>
      <c r="B37" s="9" t="s">
        <v>43</v>
      </c>
      <c r="C37" s="11">
        <v>63</v>
      </c>
      <c r="D37" s="4">
        <f t="shared" si="0"/>
        <v>42.84</v>
      </c>
      <c r="E37" s="11">
        <v>54</v>
      </c>
      <c r="F37" s="4">
        <f t="shared" si="1"/>
        <v>36.720000000000006</v>
      </c>
      <c r="G37" s="11">
        <v>5</v>
      </c>
      <c r="H37" s="4">
        <f t="shared" si="2"/>
        <v>3.4000000000000004</v>
      </c>
      <c r="I37" s="5">
        <f t="shared" si="3"/>
        <v>122</v>
      </c>
      <c r="J37" s="8">
        <v>1</v>
      </c>
      <c r="K37" s="10">
        <f t="shared" si="4"/>
        <v>83.960000000000008</v>
      </c>
    </row>
    <row r="38" spans="1:11" x14ac:dyDescent="0.2">
      <c r="A38" s="3">
        <v>37</v>
      </c>
      <c r="B38" s="9" t="s">
        <v>44</v>
      </c>
      <c r="C38" s="11">
        <v>42</v>
      </c>
      <c r="D38" s="4">
        <f t="shared" si="0"/>
        <v>28.560000000000002</v>
      </c>
      <c r="E38" s="11">
        <v>26</v>
      </c>
      <c r="F38" s="4">
        <f t="shared" si="1"/>
        <v>17.68</v>
      </c>
      <c r="G38" s="11">
        <v>2</v>
      </c>
      <c r="H38" s="4">
        <f t="shared" si="2"/>
        <v>1.36</v>
      </c>
      <c r="I38" s="5">
        <f t="shared" si="3"/>
        <v>70</v>
      </c>
      <c r="J38" s="8">
        <v>1</v>
      </c>
      <c r="K38" s="10">
        <f t="shared" si="4"/>
        <v>48.6</v>
      </c>
    </row>
    <row r="39" spans="1:11" x14ac:dyDescent="0.2">
      <c r="A39" s="3">
        <v>38</v>
      </c>
      <c r="B39" s="9" t="s">
        <v>45</v>
      </c>
      <c r="C39" s="11">
        <v>73</v>
      </c>
      <c r="D39" s="4">
        <f t="shared" si="0"/>
        <v>49.64</v>
      </c>
      <c r="E39" s="11">
        <v>25</v>
      </c>
      <c r="F39" s="4">
        <f t="shared" si="1"/>
        <v>17</v>
      </c>
      <c r="G39" s="11">
        <v>0</v>
      </c>
      <c r="H39" s="4">
        <f t="shared" si="2"/>
        <v>0</v>
      </c>
      <c r="I39" s="5">
        <f t="shared" si="3"/>
        <v>98</v>
      </c>
      <c r="J39" s="8">
        <v>1</v>
      </c>
      <c r="K39" s="10">
        <f t="shared" si="4"/>
        <v>67.64</v>
      </c>
    </row>
    <row r="40" spans="1:11" x14ac:dyDescent="0.2">
      <c r="A40" s="3">
        <v>39</v>
      </c>
      <c r="B40" s="9" t="s">
        <v>46</v>
      </c>
      <c r="C40" s="11">
        <v>82</v>
      </c>
      <c r="D40" s="4">
        <f t="shared" si="0"/>
        <v>55.760000000000005</v>
      </c>
      <c r="E40" s="11">
        <v>40</v>
      </c>
      <c r="F40" s="4">
        <f t="shared" si="1"/>
        <v>27.200000000000003</v>
      </c>
      <c r="G40" s="11">
        <v>5</v>
      </c>
      <c r="H40" s="4">
        <f t="shared" si="2"/>
        <v>3.4000000000000004</v>
      </c>
      <c r="I40" s="5">
        <f t="shared" si="3"/>
        <v>127</v>
      </c>
      <c r="J40" s="8">
        <v>1</v>
      </c>
      <c r="K40" s="10">
        <f t="shared" si="4"/>
        <v>87.360000000000014</v>
      </c>
    </row>
  </sheetData>
  <sortState xmlns:xlrd2="http://schemas.microsoft.com/office/spreadsheetml/2017/richdata2" ref="A2:K41">
    <sortCondition ref="A1:A41"/>
  </sortState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Irhamni Ali</dc:creator>
  <cp:lastModifiedBy>Irhamni Ali</cp:lastModifiedBy>
  <dcterms:created xsi:type="dcterms:W3CDTF">2025-12-01T04:30:32Z</dcterms:created>
  <dcterms:modified xsi:type="dcterms:W3CDTF">2025-12-19T07:45:34Z</dcterms:modified>
</cp:coreProperties>
</file>